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'Risk Register'!$A$3:$O$35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Stable reference, e.g. R-001.</t>
      </text>
    </comment>
    <comment ref="B3" authorId="0" shapeId="0">
      <text>
        <t>Because [cause], [event] may happen, leading to [consequence].</t>
      </text>
    </comment>
    <comment ref="C3" authorId="0" shapeId="0">
      <text>
        <t>Risk type.</t>
      </text>
    </comment>
    <comment ref="D3" authorId="0" shapeId="0">
      <text>
        <t>1 Rare … 5 Almost certain.</t>
      </text>
    </comment>
    <comment ref="E3" authorId="0" shapeId="0">
      <text>
        <t>1 Negligible … 5 Severe.</t>
      </text>
    </comment>
    <comment ref="F3" authorId="0" shapeId="0">
      <text>
        <t>Likelihood x Impact. Calculated.</t>
      </text>
    </comment>
    <comment ref="G3" authorId="0" shapeId="0">
      <text>
        <t>Calculated from the rating.</t>
      </text>
    </comment>
    <comment ref="H3" authorId="0" shapeId="0">
      <text>
        <t>Named person accountable for treating it.</t>
      </text>
    </comment>
    <comment ref="I3" authorId="0" shapeId="0">
      <text>
        <t>Tolerate requires a named acceptor.</t>
      </text>
    </comment>
    <comment ref="J3" authorId="0" shapeId="0">
      <text>
        <t>What is actually being done.</t>
      </text>
    </comment>
    <comment ref="K3" authorId="0" shapeId="0">
      <text>
        <t>Where you expect to get to.</t>
      </text>
    </comment>
    <comment ref="L3" authorId="0" shapeId="0">
      <text>
        <t>Where you actually are after treatment.</t>
      </text>
    </comment>
    <comment ref="M3" authorId="0" shapeId="0">
      <text>
        <t>Required if tolerating. Risk tolerated by nobody has been ignored.</t>
      </text>
    </comment>
    <comment ref="N3" authorId="0" shapeId="0">
      <text>
        <t>Date.</t>
      </text>
    </comment>
    <comment ref="O3" authorId="0" shapeId="0">
      <text>
        <t>Critical monthly, High quarterly, Medium half-yearly, Low annually.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4" customWidth="1" min="9" max="9"/>
    <col width="40" customWidth="1" min="10" max="10"/>
    <col width="12" customWidth="1" min="11" max="11"/>
    <col width="14" customWidth="1" min="12" max="12"/>
    <col width="18" customWidth="1" min="13" max="13"/>
    <col width="14" customWidth="1" min="14" max="14"/>
    <col width="14" customWidth="1" min="15" max="15"/>
  </cols>
  <sheetData>
    <row r="1" ht="28" customHeight="1">
      <c r="A1" s="1" t="inlineStr">
        <is>
          <t>Write risks as cause, event, and consequence. Rating and residual columns calculate automatically from likelihood and impact.</t>
        </is>
      </c>
    </row>
    <row r="3" ht="30" customHeight="1">
      <c r="A3" s="2" t="inlineStr">
        <is>
          <t>Risk ID</t>
        </is>
      </c>
      <c r="B3" s="2" t="inlineStr">
        <is>
          <t>Risk description</t>
        </is>
      </c>
      <c r="C3" s="2" t="inlineStr">
        <is>
          <t>Category</t>
        </is>
      </c>
      <c r="D3" s="2" t="inlineStr">
        <is>
          <t>Likelihood</t>
        </is>
      </c>
      <c r="E3" s="2" t="inlineStr">
        <is>
          <t>Impact</t>
        </is>
      </c>
      <c r="F3" s="2" t="inlineStr">
        <is>
          <t>Rating</t>
        </is>
      </c>
      <c r="G3" s="2" t="inlineStr">
        <is>
          <t>Level</t>
        </is>
      </c>
      <c r="H3" s="2" t="inlineStr">
        <is>
          <t>Owner</t>
        </is>
      </c>
      <c r="I3" s="2" t="inlineStr">
        <is>
          <t>Treatment</t>
        </is>
      </c>
      <c r="J3" s="2" t="inlineStr">
        <is>
          <t>Controls / actions</t>
        </is>
      </c>
      <c r="K3" s="2" t="inlineStr">
        <is>
          <t>Target rating</t>
        </is>
      </c>
      <c r="L3" s="2" t="inlineStr">
        <is>
          <t>Residual rating</t>
        </is>
      </c>
      <c r="M3" s="2" t="inlineStr">
        <is>
          <t>Accepted by</t>
        </is>
      </c>
      <c r="N3" s="2" t="inlineStr">
        <is>
          <t>Date accepted</t>
        </is>
      </c>
      <c r="O3" s="2" t="inlineStr">
        <is>
          <t>Next review</t>
        </is>
      </c>
    </row>
    <row r="4">
      <c r="A4" s="3" t="inlineStr">
        <is>
          <t>R-001</t>
        </is>
      </c>
      <c r="B4" s="3" t="inlineStr">
        <is>
          <t>Because AI systems are procured without governance review, unassessed high-risk systems may go live, leading to regulatory breach and enforcement</t>
        </is>
      </c>
      <c r="C4" s="3" t="inlineStr">
        <is>
          <t>Compliance</t>
        </is>
      </c>
      <c r="D4" s="3" t="inlineStr">
        <is>
          <t>4</t>
        </is>
      </c>
      <c r="E4" s="3" t="inlineStr">
        <is>
          <t>4</t>
        </is>
      </c>
      <c r="F4" s="3">
        <f>IF(AND(ISNUMBER(D4),ISNUMBER(E4)),D4*E4,"")</f>
        <v/>
      </c>
      <c r="G4" s="3">
        <f>IF(F4="","",IF(F4&gt;=15,"Critical",IF(F4&gt;=10,"High",IF(F4&gt;=5,"Medium","Low"))))</f>
        <v/>
      </c>
      <c r="H4" s="3" t="inlineStr">
        <is>
          <t>[name]</t>
        </is>
      </c>
      <c r="I4" s="3" t="inlineStr">
        <is>
          <t>Treat</t>
        </is>
      </c>
      <c r="J4" s="3" t="inlineStr">
        <is>
          <t>Mandatory intake gate; quarterly SaaS sweep</t>
        </is>
      </c>
      <c r="K4" s="3" t="inlineStr">
        <is>
          <t>8</t>
        </is>
      </c>
      <c r="L4" s="3" t="n"/>
      <c r="M4" s="3" t="n"/>
      <c r="N4" s="3" t="n"/>
      <c r="O4" s="3" t="n"/>
    </row>
    <row r="5">
      <c r="A5" s="3" t="inlineStr">
        <is>
          <t>R-002</t>
        </is>
      </c>
      <c r="B5" s="3" t="inlineStr">
        <is>
          <t>Because training data under-represents some groups, the model may produce discriminatory outcomes, leading to harm and legal claims</t>
        </is>
      </c>
      <c r="C5" s="3" t="inlineStr">
        <is>
          <t>Fairness</t>
        </is>
      </c>
      <c r="D5" s="3" t="inlineStr">
        <is>
          <t>3</t>
        </is>
      </c>
      <c r="E5" s="3" t="inlineStr">
        <is>
          <t>5</t>
        </is>
      </c>
      <c r="F5" s="3">
        <f>IF(AND(ISNUMBER(D5),ISNUMBER(E5)),D5*E5,"")</f>
        <v/>
      </c>
      <c r="G5" s="3">
        <f>IF(F5="","",IF(F5&gt;=15,"Critical",IF(F5&gt;=10,"High",IF(F5&gt;=5,"Medium","Low"))))</f>
        <v/>
      </c>
      <c r="H5" s="3" t="inlineStr">
        <is>
          <t>[name]</t>
        </is>
      </c>
      <c r="I5" s="3" t="inlineStr">
        <is>
          <t>Treat</t>
        </is>
      </c>
      <c r="J5" s="3" t="inlineStr">
        <is>
          <t>Representativeness testing at G4; subgroup metrics</t>
        </is>
      </c>
      <c r="K5" s="3" t="inlineStr">
        <is>
          <t>6</t>
        </is>
      </c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>
        <f>IF(AND(ISNUMBER(D6),ISNUMBER(E6)),D6*E6,"")</f>
        <v/>
      </c>
      <c r="G6" s="3">
        <f>IF(F6="","",IF(F6&gt;=15,"Critical",IF(F6&gt;=10,"High",IF(F6&gt;=5,"Medium","Low"))))</f>
        <v/>
      </c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>
        <f>IF(AND(ISNUMBER(D7),ISNUMBER(E7)),D7*E7,"")</f>
        <v/>
      </c>
      <c r="G7" s="3">
        <f>IF(F7="","",IF(F7&gt;=15,"Critical",IF(F7&gt;=10,"High",IF(F7&gt;=5,"Medium","Low"))))</f>
        <v/>
      </c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>
        <f>IF(AND(ISNUMBER(D8),ISNUMBER(E8)),D8*E8,"")</f>
        <v/>
      </c>
      <c r="G8" s="3">
        <f>IF(F8="","",IF(F8&gt;=15,"Critical",IF(F8&gt;=10,"High",IF(F8&gt;=5,"Medium","Low"))))</f>
        <v/>
      </c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>
        <f>IF(AND(ISNUMBER(D9),ISNUMBER(E9)),D9*E9,"")</f>
        <v/>
      </c>
      <c r="G9" s="3">
        <f>IF(F9="","",IF(F9&gt;=15,"Critical",IF(F9&gt;=10,"High",IF(F9&gt;=5,"Medium","Low"))))</f>
        <v/>
      </c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>
        <f>IF(AND(ISNUMBER(D10),ISNUMBER(E10)),D10*E10,"")</f>
        <v/>
      </c>
      <c r="G10" s="3">
        <f>IF(F10="","",IF(F10&gt;=15,"Critical",IF(F10&gt;=10,"High",IF(F10&gt;=5,"Medium","Low"))))</f>
        <v/>
      </c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>
        <f>IF(AND(ISNUMBER(D11),ISNUMBER(E11)),D11*E11,"")</f>
        <v/>
      </c>
      <c r="G11" s="3">
        <f>IF(F11="","",IF(F11&gt;=15,"Critical",IF(F11&gt;=10,"High",IF(F11&gt;=5,"Medium","Low"))))</f>
        <v/>
      </c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>
        <f>IF(AND(ISNUMBER(D12),ISNUMBER(E12)),D12*E12,"")</f>
        <v/>
      </c>
      <c r="G12" s="3">
        <f>IF(F12="","",IF(F12&gt;=15,"Critical",IF(F12&gt;=10,"High",IF(F12&gt;=5,"Medium","Low"))))</f>
        <v/>
      </c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>
        <f>IF(AND(ISNUMBER(D13),ISNUMBER(E13)),D13*E13,"")</f>
        <v/>
      </c>
      <c r="G13" s="3">
        <f>IF(F13="","",IF(F13&gt;=15,"Critical",IF(F13&gt;=10,"High",IF(F13&gt;=5,"Medium","Low"))))</f>
        <v/>
      </c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>
        <f>IF(AND(ISNUMBER(D14),ISNUMBER(E14)),D14*E14,"")</f>
        <v/>
      </c>
      <c r="G14" s="3">
        <f>IF(F14="","",IF(F14&gt;=15,"Critical",IF(F14&gt;=10,"High",IF(F14&gt;=5,"Medium","Low"))))</f>
        <v/>
      </c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>
        <f>IF(AND(ISNUMBER(D15),ISNUMBER(E15)),D15*E15,"")</f>
        <v/>
      </c>
      <c r="G15" s="3">
        <f>IF(F15="","",IF(F15&gt;=15,"Critical",IF(F15&gt;=10,"High",IF(F15&gt;=5,"Medium","Low"))))</f>
        <v/>
      </c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>
        <f>IF(AND(ISNUMBER(D16),ISNUMBER(E16)),D16*E16,"")</f>
        <v/>
      </c>
      <c r="G16" s="3">
        <f>IF(F16="","",IF(F16&gt;=15,"Critical",IF(F16&gt;=10,"High",IF(F16&gt;=5,"Medium","Low"))))</f>
        <v/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>
        <f>IF(AND(ISNUMBER(D17),ISNUMBER(E17)),D17*E17,"")</f>
        <v/>
      </c>
      <c r="G17" s="3">
        <f>IF(F17="","",IF(F17&gt;=15,"Critical",IF(F17&gt;=10,"High",IF(F17&gt;=5,"Medium","Low"))))</f>
        <v/>
      </c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>
        <f>IF(AND(ISNUMBER(D18),ISNUMBER(E18)),D18*E18,"")</f>
        <v/>
      </c>
      <c r="G18" s="3">
        <f>IF(F18="","",IF(F18&gt;=15,"Critical",IF(F18&gt;=10,"High",IF(F18&gt;=5,"Medium","Low"))))</f>
        <v/>
      </c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>
        <f>IF(AND(ISNUMBER(D19),ISNUMBER(E19)),D19*E19,"")</f>
        <v/>
      </c>
      <c r="G19" s="3">
        <f>IF(F19="","",IF(F19&gt;=15,"Critical",IF(F19&gt;=10,"High",IF(F19&gt;=5,"Medium","Low"))))</f>
        <v/>
      </c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>
        <f>IF(AND(ISNUMBER(D20),ISNUMBER(E20)),D20*E20,"")</f>
        <v/>
      </c>
      <c r="G20" s="3">
        <f>IF(F20="","",IF(F20&gt;=15,"Critical",IF(F20&gt;=10,"High",IF(F20&gt;=5,"Medium","Low"))))</f>
        <v/>
      </c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>
        <f>IF(AND(ISNUMBER(D21),ISNUMBER(E21)),D21*E21,"")</f>
        <v/>
      </c>
      <c r="G21" s="3">
        <f>IF(F21="","",IF(F21&gt;=15,"Critical",IF(F21&gt;=10,"High",IF(F21&gt;=5,"Medium","Low"))))</f>
        <v/>
      </c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>
        <f>IF(AND(ISNUMBER(D22),ISNUMBER(E22)),D22*E22,"")</f>
        <v/>
      </c>
      <c r="G22" s="3">
        <f>IF(F22="","",IF(F22&gt;=15,"Critical",IF(F22&gt;=10,"High",IF(F22&gt;=5,"Medium","Low"))))</f>
        <v/>
      </c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>
        <f>IF(AND(ISNUMBER(D23),ISNUMBER(E23)),D23*E23,"")</f>
        <v/>
      </c>
      <c r="G23" s="3">
        <f>IF(F23="","",IF(F23&gt;=15,"Critical",IF(F23&gt;=10,"High",IF(F23&gt;=5,"Medium","Low"))))</f>
        <v/>
      </c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>
        <f>IF(AND(ISNUMBER(D24),ISNUMBER(E24)),D24*E24,"")</f>
        <v/>
      </c>
      <c r="G24" s="3">
        <f>IF(F24="","",IF(F24&gt;=15,"Critical",IF(F24&gt;=10,"High",IF(F24&gt;=5,"Medium","Low"))))</f>
        <v/>
      </c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>
        <f>IF(AND(ISNUMBER(D25),ISNUMBER(E25)),D25*E25,"")</f>
        <v/>
      </c>
      <c r="G25" s="3">
        <f>IF(F25="","",IF(F25&gt;=15,"Critical",IF(F25&gt;=10,"High",IF(F25&gt;=5,"Medium","Low"))))</f>
        <v/>
      </c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>
        <f>IF(AND(ISNUMBER(D26),ISNUMBER(E26)),D26*E26,"")</f>
        <v/>
      </c>
      <c r="G26" s="3">
        <f>IF(F26="","",IF(F26&gt;=15,"Critical",IF(F26&gt;=10,"High",IF(F26&gt;=5,"Medium","Low"))))</f>
        <v/>
      </c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>
        <f>IF(AND(ISNUMBER(D27),ISNUMBER(E27)),D27*E27,"")</f>
        <v/>
      </c>
      <c r="G27" s="3">
        <f>IF(F27="","",IF(F27&gt;=15,"Critical",IF(F27&gt;=10,"High",IF(F27&gt;=5,"Medium","Low"))))</f>
        <v/>
      </c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>
        <f>IF(AND(ISNUMBER(D28),ISNUMBER(E28)),D28*E28,"")</f>
        <v/>
      </c>
      <c r="G28" s="3">
        <f>IF(F28="","",IF(F28&gt;=15,"Critical",IF(F28&gt;=10,"High",IF(F28&gt;=5,"Medium","Low"))))</f>
        <v/>
      </c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>
        <f>IF(AND(ISNUMBER(D29),ISNUMBER(E29)),D29*E29,"")</f>
        <v/>
      </c>
      <c r="G29" s="3">
        <f>IF(F29="","",IF(F29&gt;=15,"Critical",IF(F29&gt;=10,"High",IF(F29&gt;=5,"Medium","Low"))))</f>
        <v/>
      </c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>
        <f>IF(AND(ISNUMBER(D30),ISNUMBER(E30)),D30*E30,"")</f>
        <v/>
      </c>
      <c r="G30" s="3">
        <f>IF(F30="","",IF(F30&gt;=15,"Critical",IF(F30&gt;=10,"High",IF(F30&gt;=5,"Medium","Low"))))</f>
        <v/>
      </c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>
        <f>IF(AND(ISNUMBER(D31),ISNUMBER(E31)),D31*E31,"")</f>
        <v/>
      </c>
      <c r="G31" s="3">
        <f>IF(F31="","",IF(F31&gt;=15,"Critical",IF(F31&gt;=10,"High",IF(F31&gt;=5,"Medium","Low"))))</f>
        <v/>
      </c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>
        <f>IF(AND(ISNUMBER(D32),ISNUMBER(E32)),D32*E32,"")</f>
        <v/>
      </c>
      <c r="G32" s="3">
        <f>IF(F32="","",IF(F32&gt;=15,"Critical",IF(F32&gt;=10,"High",IF(F32&gt;=5,"Medium","Low"))))</f>
        <v/>
      </c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>
        <f>IF(AND(ISNUMBER(D33),ISNUMBER(E33)),D33*E33,"")</f>
        <v/>
      </c>
      <c r="G33" s="3">
        <f>IF(F33="","",IF(F33&gt;=15,"Critical",IF(F33&gt;=10,"High",IF(F33&gt;=5,"Medium","Low"))))</f>
        <v/>
      </c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>
        <f>IF(AND(ISNUMBER(D34),ISNUMBER(E34)),D34*E34,"")</f>
        <v/>
      </c>
      <c r="G34" s="3">
        <f>IF(F34="","",IF(F34&gt;=15,"Critical",IF(F34&gt;=10,"High",IF(F34&gt;=5,"Medium","Low"))))</f>
        <v/>
      </c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>
        <f>IF(AND(ISNUMBER(D35),ISNUMBER(E35)),D35*E35,"")</f>
        <v/>
      </c>
      <c r="G35" s="3">
        <f>IF(F35="","",IF(F35&gt;=15,"Critical",IF(F35&gt;=10,"High",IF(F35&gt;=5,"Medium","Low"))))</f>
        <v/>
      </c>
      <c r="H35" s="3" t="n"/>
      <c r="I35" s="3" t="n"/>
      <c r="J35" s="3" t="n"/>
      <c r="K35" s="3" t="n"/>
      <c r="L35" s="3" t="n"/>
      <c r="M35" s="3" t="n"/>
      <c r="N35" s="3" t="n"/>
      <c r="O35" s="3" t="n"/>
    </row>
  </sheetData>
  <autoFilter ref="A3:O35"/>
  <mergeCells count="1">
    <mergeCell ref="A1:O1"/>
  </mergeCells>
  <dataValidations count="4">
    <dataValidation sqref="C4:C35" showDropDown="0" showInputMessage="0" showErrorMessage="0" allowBlank="1" errorTitle="Invalid entry" error="Pick a value from the list." type="list">
      <formula1>"Compliance,Fairness,Security,Operational,Reputational,Financial,Privacy"</formula1>
    </dataValidation>
    <dataValidation sqref="D4:D35" showDropDown="0" showInputMessage="0" showErrorMessage="0" allowBlank="1" errorTitle="Invalid entry" error="Pick a value from the list." type="list">
      <formula1>"1,2,3,4,5"</formula1>
    </dataValidation>
    <dataValidation sqref="E4:E35" showDropDown="0" showInputMessage="0" showErrorMessage="0" allowBlank="1" errorTitle="Invalid entry" error="Pick a value from the list." type="list">
      <formula1>"1,2,3,4,5"</formula1>
    </dataValidation>
    <dataValidation sqref="I4:I35" showDropDown="0" showInputMessage="0" showErrorMessage="0" allowBlank="1" errorTitle="Invalid entry" error="Pick a value from the list." type="list">
      <formula1>"Treat,Tolerate,Transfer,Terminate"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Risk Register</t>
        </is>
      </c>
    </row>
    <row r="2">
      <c r="A2" s="5" t="inlineStr"/>
    </row>
    <row r="3">
      <c r="A3" s="5" t="inlineStr">
        <is>
          <t>The live record of data and AI risks: what could go wrong, how likely and how bad, what you are doing about it, and who owns it.</t>
        </is>
      </c>
    </row>
    <row r="4">
      <c r="A4" s="5" t="inlineStr"/>
    </row>
    <row r="5">
      <c r="A5" s="5" t="inlineStr">
        <is>
          <t>How to use it: Write risks as cause, event, and consequence — "because X, Y may happen, leading to Z". A register full of one-word risks like "data quality" cannot be managed, because nobody can tell what treating it would involve.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2026-08-02T09:56:02Z</dcterms:created>
  <dcterms:modified xmlns:dcterms="http://purl.org/dc/terms/" xmlns:xsi="http://www.w3.org/2001/XMLSchema-instance" xsi:type="dcterms:W3CDTF">2026-08-02T09:56:02Z</dcterms:modified>
</cp:coreProperties>
</file>