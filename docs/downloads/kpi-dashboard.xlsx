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'KPI Dashboard'!$A$3:$K$44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Governance Kit</author>
  </authors>
  <commentList>
    <comment ref="A3" authorId="0" shapeId="0">
      <text>
        <t>What is measured.</t>
      </text>
    </comment>
    <comment ref="B3" authorId="0" shapeId="0">
      <text>
        <t>KPI = is it working. KRI = is something about to go wrong.</t>
      </text>
    </comment>
    <comment ref="C3" authorId="0" shapeId="0">
      <text>
        <t>Exactly how it is calculated.</t>
      </text>
    </comment>
    <comment ref="D3" authorId="0" shapeId="0">
      <text>
        <t>This period.</t>
      </text>
    </comment>
    <comment ref="E3" authorId="0" shapeId="0">
      <text>
        <t>Last period.</t>
      </text>
    </comment>
    <comment ref="F3" authorId="0" shapeId="0">
      <text>
        <t>Where it should be.</t>
      </text>
    </comment>
    <comment ref="G3" authorId="0" shapeId="0">
      <text>
        <t>Current minus target. Calculated.</t>
      </text>
    </comment>
    <comment ref="H3" authorId="0" shapeId="0">
      <text>
        <t>Direction matters more than level.</t>
      </text>
    </comment>
    <comment ref="I3" authorId="0" shapeId="0">
      <text>
        <t>Define thresholds once and keep them fixed.</t>
      </text>
    </comment>
    <comment ref="J3" authorId="0" shapeId="0">
      <text>
        <t>Who acts on it.</t>
      </text>
    </comment>
    <comment ref="K3" authorId="0" shapeId="0">
      <text>
        <t>One line per amber or red, naming the action and owner.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8" customWidth="1" min="9" max="9"/>
    <col width="16" customWidth="1" min="10" max="10"/>
    <col width="40" customWidth="1" min="11" max="11"/>
  </cols>
  <sheetData>
    <row r="1" ht="28" customHeight="1">
      <c r="A1" s="1" t="inlineStr">
        <is>
          <t>Hold the metric set stable — trend is the point. Variance calculates automatically against target.</t>
        </is>
      </c>
    </row>
    <row r="3" ht="30" customHeight="1">
      <c r="A3" s="2" t="inlineStr">
        <is>
          <t>Metric</t>
        </is>
      </c>
      <c r="B3" s="2" t="inlineStr">
        <is>
          <t>Type</t>
        </is>
      </c>
      <c r="C3" s="2" t="inlineStr">
        <is>
          <t>Definition</t>
        </is>
      </c>
      <c r="D3" s="2" t="inlineStr">
        <is>
          <t>Current</t>
        </is>
      </c>
      <c r="E3" s="2" t="inlineStr">
        <is>
          <t>Previous</t>
        </is>
      </c>
      <c r="F3" s="2" t="inlineStr">
        <is>
          <t>Target</t>
        </is>
      </c>
      <c r="G3" s="2" t="inlineStr">
        <is>
          <t>Variance</t>
        </is>
      </c>
      <c r="H3" s="2" t="inlineStr">
        <is>
          <t>Trend</t>
        </is>
      </c>
      <c r="I3" s="2" t="inlineStr">
        <is>
          <t>RAG</t>
        </is>
      </c>
      <c r="J3" s="2" t="inlineStr">
        <is>
          <t>Owner</t>
        </is>
      </c>
      <c r="K3" s="2" t="inlineStr">
        <is>
          <t>Commentary</t>
        </is>
      </c>
    </row>
    <row r="4">
      <c r="A4" s="3" t="inlineStr">
        <is>
          <t>AI systems registered (%)</t>
        </is>
      </c>
      <c r="B4" s="3" t="inlineStr">
        <is>
          <t>KPI</t>
        </is>
      </c>
      <c r="C4" s="3" t="inlineStr">
        <is>
          <t>Registered / known to exist</t>
        </is>
      </c>
      <c r="D4" s="3" t="n"/>
      <c r="E4" s="3" t="n"/>
      <c r="F4" s="3" t="inlineStr">
        <is>
          <t>100</t>
        </is>
      </c>
      <c r="G4" s="3">
        <f>IF(AND(ISNUMBER(D4),ISNUMBER(F4)),D4-F4,"")</f>
        <v/>
      </c>
      <c r="H4" s="3" t="n"/>
      <c r="I4" s="3" t="n"/>
      <c r="J4" s="3" t="n"/>
      <c r="K4" s="3" t="n"/>
    </row>
    <row r="5">
      <c r="A5" s="3" t="inlineStr">
        <is>
          <t>High-risk systems assessed (%)</t>
        </is>
      </c>
      <c r="B5" s="3" t="inlineStr">
        <is>
          <t>KPI</t>
        </is>
      </c>
      <c r="C5" s="3" t="inlineStr">
        <is>
          <t>With current risk assessment</t>
        </is>
      </c>
      <c r="D5" s="3" t="n"/>
      <c r="E5" s="3" t="n"/>
      <c r="F5" s="3" t="inlineStr">
        <is>
          <t>100</t>
        </is>
      </c>
      <c r="G5" s="3">
        <f>IF(AND(ISNUMBER(D5),ISNUMBER(F5)),D5-F5,"")</f>
        <v/>
      </c>
      <c r="H5" s="3" t="n"/>
      <c r="I5" s="3" t="n"/>
      <c r="J5" s="3" t="n"/>
      <c r="K5" s="3" t="n"/>
    </row>
    <row r="6">
      <c r="A6" s="3" t="inlineStr">
        <is>
          <t>Documentation complete (%)</t>
        </is>
      </c>
      <c r="B6" s="3" t="inlineStr">
        <is>
          <t>KPI</t>
        </is>
      </c>
      <c r="C6" s="3" t="inlineStr">
        <is>
          <t>High-risk with current model card</t>
        </is>
      </c>
      <c r="D6" s="3" t="n"/>
      <c r="E6" s="3" t="n"/>
      <c r="F6" s="3" t="inlineStr">
        <is>
          <t>100</t>
        </is>
      </c>
      <c r="G6" s="3">
        <f>IF(AND(ISNUMBER(D6),ISNUMBER(F6)),D6-F6,"")</f>
        <v/>
      </c>
      <c r="H6" s="3" t="n"/>
      <c r="I6" s="3" t="n"/>
      <c r="J6" s="3" t="n"/>
      <c r="K6" s="3" t="n"/>
    </row>
    <row r="7">
      <c r="A7" s="3" t="inlineStr">
        <is>
          <t>AI literacy completion (%)</t>
        </is>
      </c>
      <c r="B7" s="3" t="inlineStr">
        <is>
          <t>KPI</t>
        </is>
      </c>
      <c r="C7" s="3" t="inlineStr">
        <is>
          <t>Relevant staff trained</t>
        </is>
      </c>
      <c r="D7" s="3" t="n"/>
      <c r="E7" s="3" t="n"/>
      <c r="F7" s="3" t="inlineStr">
        <is>
          <t>90</t>
        </is>
      </c>
      <c r="G7" s="3">
        <f>IF(AND(ISNUMBER(D7),ISNUMBER(F7)),D7-F7,"")</f>
        <v/>
      </c>
      <c r="H7" s="3" t="n"/>
      <c r="I7" s="3" t="n"/>
      <c r="J7" s="3" t="n"/>
      <c r="K7" s="3" t="n"/>
    </row>
    <row r="8">
      <c r="A8" s="3" t="inlineStr">
        <is>
          <t>Control tests passed (%)</t>
        </is>
      </c>
      <c r="B8" s="3" t="inlineStr">
        <is>
          <t>KPI</t>
        </is>
      </c>
      <c r="C8" s="3" t="inlineStr">
        <is>
          <t>Tested controls operating effectively</t>
        </is>
      </c>
      <c r="D8" s="3" t="n"/>
      <c r="E8" s="3" t="n"/>
      <c r="F8" s="3" t="inlineStr">
        <is>
          <t>95</t>
        </is>
      </c>
      <c r="G8" s="3">
        <f>IF(AND(ISNUMBER(D8),ISNUMBER(F8)),D8-F8,"")</f>
        <v/>
      </c>
      <c r="H8" s="3" t="n"/>
      <c r="I8" s="3" t="n"/>
      <c r="J8" s="3" t="n"/>
      <c r="K8" s="3" t="n"/>
    </row>
    <row r="9">
      <c r="A9" s="3" t="inlineStr">
        <is>
          <t>Unregistered systems found</t>
        </is>
      </c>
      <c r="B9" s="3" t="inlineStr">
        <is>
          <t>KRI</t>
        </is>
      </c>
      <c r="C9" s="3" t="inlineStr">
        <is>
          <t>Discovered outside the intake process</t>
        </is>
      </c>
      <c r="D9" s="3" t="n"/>
      <c r="E9" s="3" t="n"/>
      <c r="F9" s="3" t="inlineStr">
        <is>
          <t>0</t>
        </is>
      </c>
      <c r="G9" s="3">
        <f>IF(AND(ISNUMBER(D9),ISNUMBER(F9)),D9-F9,"")</f>
        <v/>
      </c>
      <c r="H9" s="3" t="n"/>
      <c r="I9" s="3" t="n"/>
      <c r="J9" s="3" t="n"/>
      <c r="K9" s="3" t="n"/>
    </row>
    <row r="10">
      <c r="A10" s="3" t="inlineStr">
        <is>
          <t>Overdue high-risk reviews</t>
        </is>
      </c>
      <c r="B10" s="3" t="inlineStr">
        <is>
          <t>KRI</t>
        </is>
      </c>
      <c r="C10" s="3" t="inlineStr">
        <is>
          <t>Past their review date</t>
        </is>
      </c>
      <c r="D10" s="3" t="n"/>
      <c r="E10" s="3" t="n"/>
      <c r="F10" s="3" t="inlineStr">
        <is>
          <t>0</t>
        </is>
      </c>
      <c r="G10" s="3">
        <f>IF(AND(ISNUMBER(D10),ISNUMBER(F10)),D10-F10,"")</f>
        <v/>
      </c>
      <c r="H10" s="3" t="n"/>
      <c r="I10" s="3" t="n"/>
      <c r="J10" s="3" t="n"/>
      <c r="K10" s="3" t="n"/>
    </row>
    <row r="11">
      <c r="A11" s="3" t="inlineStr">
        <is>
          <t>Open high/critical risks past target</t>
        </is>
      </c>
      <c r="B11" s="3" t="inlineStr">
        <is>
          <t>KRI</t>
        </is>
      </c>
      <c r="C11" s="3" t="inlineStr">
        <is>
          <t>Treatment not landing</t>
        </is>
      </c>
      <c r="D11" s="3" t="n"/>
      <c r="E11" s="3" t="n"/>
      <c r="F11" s="3" t="inlineStr">
        <is>
          <t>0</t>
        </is>
      </c>
      <c r="G11" s="3">
        <f>IF(AND(ISNUMBER(D11),ISNUMBER(F11)),D11-F11,"")</f>
        <v/>
      </c>
      <c r="H11" s="3" t="n"/>
      <c r="I11" s="3" t="n"/>
      <c r="J11" s="3" t="n"/>
      <c r="K11" s="3" t="n"/>
    </row>
    <row r="12">
      <c r="A12" s="3" t="inlineStr">
        <is>
          <t>Exceptions open beyond expiry</t>
        </is>
      </c>
      <c r="B12" s="3" t="inlineStr">
        <is>
          <t>KRI</t>
        </is>
      </c>
      <c r="C12" s="3" t="inlineStr">
        <is>
          <t>Silent policy erosion</t>
        </is>
      </c>
      <c r="D12" s="3" t="n"/>
      <c r="E12" s="3" t="n"/>
      <c r="F12" s="3" t="inlineStr">
        <is>
          <t>0</t>
        </is>
      </c>
      <c r="G12" s="3">
        <f>IF(AND(ISNUMBER(D12),ISNUMBER(F12)),D12-F12,"")</f>
        <v/>
      </c>
      <c r="H12" s="3" t="n"/>
      <c r="I12" s="3" t="n"/>
      <c r="J12" s="3" t="n"/>
      <c r="K12" s="3" t="n"/>
    </row>
    <row r="13">
      <c r="A13" s="3" t="inlineStr">
        <is>
          <t>Human override rate (%)</t>
        </is>
      </c>
      <c r="B13" s="3" t="inlineStr">
        <is>
          <t>KRI</t>
        </is>
      </c>
      <c r="C13" s="3" t="inlineStr">
        <is>
          <t>Decisions overridden by reviewers</t>
        </is>
      </c>
      <c r="D13" s="3" t="n"/>
      <c r="E13" s="3" t="n"/>
      <c r="F13" s="3" t="inlineStr">
        <is>
          <t>2-20</t>
        </is>
      </c>
      <c r="G13" s="3">
        <f>IF(AND(ISNUMBER(D13),ISNUMBER(F13)),D13-F13,"")</f>
        <v/>
      </c>
      <c r="H13" s="3" t="n"/>
      <c r="I13" s="3" t="n"/>
      <c r="J13" s="3" t="n"/>
      <c r="K13" s="3" t="n"/>
    </row>
    <row r="14">
      <c r="A14" s="3" t="inlineStr">
        <is>
          <t>Incidents detected externally</t>
        </is>
      </c>
      <c r="B14" s="3" t="inlineStr">
        <is>
          <t>KRI</t>
        </is>
      </c>
      <c r="C14" s="3" t="inlineStr">
        <is>
          <t>Found by someone outside the organisation</t>
        </is>
      </c>
      <c r="D14" s="3" t="n"/>
      <c r="E14" s="3" t="n"/>
      <c r="F14" s="3" t="inlineStr">
        <is>
          <t>0</t>
        </is>
      </c>
      <c r="G14" s="3">
        <f>IF(AND(ISNUMBER(D14),ISNUMBER(F14)),D14-F14,"")</f>
        <v/>
      </c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>
        <f>IF(AND(ISNUMBER(D15),ISNUMBER(F15)),D15-F15,"")</f>
        <v/>
      </c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>
        <f>IF(AND(ISNUMBER(D16),ISNUMBER(F16)),D16-F16,"")</f>
        <v/>
      </c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>
        <f>IF(AND(ISNUMBER(D17),ISNUMBER(F17)),D17-F17,"")</f>
        <v/>
      </c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>
        <f>IF(AND(ISNUMBER(D18),ISNUMBER(F18)),D18-F18,"")</f>
        <v/>
      </c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>
        <f>IF(AND(ISNUMBER(D19),ISNUMBER(F19)),D19-F19,"")</f>
        <v/>
      </c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>
        <f>IF(AND(ISNUMBER(D20),ISNUMBER(F20)),D20-F20,"")</f>
        <v/>
      </c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>
        <f>IF(AND(ISNUMBER(D21),ISNUMBER(F21)),D21-F21,"")</f>
        <v/>
      </c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>
        <f>IF(AND(ISNUMBER(D22),ISNUMBER(F22)),D22-F22,"")</f>
        <v/>
      </c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>
        <f>IF(AND(ISNUMBER(D23),ISNUMBER(F23)),D23-F23,"")</f>
        <v/>
      </c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>
        <f>IF(AND(ISNUMBER(D24),ISNUMBER(F24)),D24-F24,"")</f>
        <v/>
      </c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>
        <f>IF(AND(ISNUMBER(D25),ISNUMBER(F25)),D25-F25,"")</f>
        <v/>
      </c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>
        <f>IF(AND(ISNUMBER(D26),ISNUMBER(F26)),D26-F26,"")</f>
        <v/>
      </c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>
        <f>IF(AND(ISNUMBER(D27),ISNUMBER(F27)),D27-F27,"")</f>
        <v/>
      </c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>
        <f>IF(AND(ISNUMBER(D28),ISNUMBER(F28)),D28-F28,"")</f>
        <v/>
      </c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>
        <f>IF(AND(ISNUMBER(D29),ISNUMBER(F29)),D29-F29,"")</f>
        <v/>
      </c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>
        <f>IF(AND(ISNUMBER(D30),ISNUMBER(F30)),D30-F30,"")</f>
        <v/>
      </c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>
        <f>IF(AND(ISNUMBER(D31),ISNUMBER(F31)),D31-F31,"")</f>
        <v/>
      </c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>
        <f>IF(AND(ISNUMBER(D32),ISNUMBER(F32)),D32-F32,"")</f>
        <v/>
      </c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>
        <f>IF(AND(ISNUMBER(D33),ISNUMBER(F33)),D33-F33,"")</f>
        <v/>
      </c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>
        <f>IF(AND(ISNUMBER(D34),ISNUMBER(F34)),D34-F34,"")</f>
        <v/>
      </c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>
        <f>IF(AND(ISNUMBER(D35),ISNUMBER(F35)),D35-F35,"")</f>
        <v/>
      </c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>
        <f>IF(AND(ISNUMBER(D36),ISNUMBER(F36)),D36-F36,"")</f>
        <v/>
      </c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>
        <f>IF(AND(ISNUMBER(D37),ISNUMBER(F37)),D37-F37,"")</f>
        <v/>
      </c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>
        <f>IF(AND(ISNUMBER(D38),ISNUMBER(F38)),D38-F38,"")</f>
        <v/>
      </c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>
        <f>IF(AND(ISNUMBER(D39),ISNUMBER(F39)),D39-F39,"")</f>
        <v/>
      </c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>
        <f>IF(AND(ISNUMBER(D40),ISNUMBER(F40)),D40-F40,"")</f>
        <v/>
      </c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>
        <f>IF(AND(ISNUMBER(D41),ISNUMBER(F41)),D41-F41,"")</f>
        <v/>
      </c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>
        <f>IF(AND(ISNUMBER(D42),ISNUMBER(F42)),D42-F42,"")</f>
        <v/>
      </c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>
        <f>IF(AND(ISNUMBER(D43),ISNUMBER(F43)),D43-F43,"")</f>
        <v/>
      </c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>
        <f>IF(AND(ISNUMBER(D44),ISNUMBER(F44)),D44-F44,"")</f>
        <v/>
      </c>
      <c r="H44" s="3" t="n"/>
      <c r="I44" s="3" t="n"/>
      <c r="J44" s="3" t="n"/>
      <c r="K44" s="3" t="n"/>
    </row>
  </sheetData>
  <autoFilter ref="A3:K44"/>
  <mergeCells count="1">
    <mergeCell ref="A1:K1"/>
  </mergeCells>
  <dataValidations count="3">
    <dataValidation sqref="B4:B44" showDropDown="0" showInputMessage="0" showErrorMessage="0" allowBlank="1" errorTitle="Invalid entry" error="Pick a value from the list." type="list">
      <formula1>"KPI,KRI"</formula1>
    </dataValidation>
    <dataValidation sqref="H4:H44" showDropDown="0" showInputMessage="0" showErrorMessage="0" allowBlank="1" errorTitle="Invalid entry" error="Pick a value from the list." type="list">
      <formula1>"Improving,Flat,Worsening"</formula1>
    </dataValidation>
    <dataValidation sqref="I4:I44" showDropDown="0" showInputMessage="0" showErrorMessage="0" allowBlank="1" errorTitle="Invalid entry" error="Pick a value from the list." type="list">
      <formula1>"Green,Amber,Red"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KPI / KRI Dashboard</t>
        </is>
      </c>
    </row>
    <row r="2">
      <c r="A2" s="5" t="inlineStr"/>
    </row>
    <row r="3">
      <c r="A3" s="5" t="inlineStr">
        <is>
          <t>The measures that show whether governance is actually working — coverage, quality, timeliness, and leading indicators of trouble — rather than how much documentation exists.</t>
        </is>
      </c>
    </row>
    <row r="4">
      <c r="A4" s="5" t="inlineStr"/>
    </row>
    <row r="5">
      <c r="A5" s="5" t="inlineStr">
        <is>
          <t>How to use it: Choose eight to twelve measures maximum and hold them stable, because trend is the point. Distinguish KPIs (is it working?) from KRIs (is something about to go wrong?) — most dashboards have far too few of the latter.</t>
        </is>
      </c>
    </row>
    <row r="6">
      <c r="A6" s="5" t="inlineStr"/>
    </row>
    <row r="7">
      <c r="A7" s="5" t="inlineStr">
        <is>
          <t>Columns carry a comment explaining what belongs in them — hover the header.</t>
        </is>
      </c>
    </row>
    <row r="8">
      <c r="A8" s="5" t="inlineStr">
        <is>
          <t>Grey dropdown columns are constrained to the listed values.</t>
        </is>
      </c>
    </row>
    <row r="9">
      <c r="A9" s="5" t="inlineStr"/>
    </row>
    <row r="10">
      <c r="A10" s="5" t="inlineStr">
        <is>
          <t>From the Open Data &amp; AI Governance Kit — https://lsdeva.github.io/governance-kit/</t>
        </is>
      </c>
    </row>
    <row r="11">
      <c r="A11" s="5" t="inlineStr">
        <is>
          <t>Licensed CC BY 4.0. Free to use, adapt, and share with attribution.</t>
        </is>
      </c>
    </row>
    <row r="12">
      <c r="A12" s="5" t="inlineStr"/>
    </row>
    <row r="13">
      <c r="A13" s="5" t="inlineStr">
        <is>
          <t>Not legal advice. Adapt to your jurisdiction, sector, and risk appetite, and have qualified counsel review anything material.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2026-08-02T09:56:05Z</dcterms:created>
  <dcterms:modified xmlns:dcterms="http://purl.org/dc/terms/" xmlns:xsi="http://www.w3.org/2001/XMLSchema-instance" xsi:type="dcterms:W3CDTF">2026-08-02T09:56:05Z</dcterms:modified>
</cp:coreProperties>
</file>